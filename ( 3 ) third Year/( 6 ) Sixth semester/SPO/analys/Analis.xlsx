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<sst xmlns="http://schemas.openxmlformats.org/spreadsheetml/2006/main" count="18" uniqueCount="16">
  <si>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 xml:space="preserve">#</t>
  </si>
  <si>
    <t xml:space="preserve">p</t>
  </si>
  <si>
    <t xml:space="preserve">g</t>
  </si>
  <si>
    <r>
      <rPr>
        <b val="true"/>
        <i val="true"/>
        <sz val="10"/>
        <color theme="1" tint="0.0499"/>
        <rFont val="Times New Roman"/>
        <family val="1"/>
        <charset val="1"/>
      </rPr>
      <t xml:space="preserve">Т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 </t>
    </r>
    <r>
      <rPr>
        <b val="true"/>
        <vertAlign val="superscript"/>
        <sz val="10"/>
        <color theme="1" tint="0.0499"/>
        <rFont val="Times New Roman"/>
        <family val="1"/>
        <charset val="1"/>
      </rPr>
      <t xml:space="preserve">(1)</t>
    </r>
  </si>
  <si>
    <r>
      <rPr>
        <b val="true"/>
        <i val="true"/>
        <sz val="10"/>
        <color theme="1" tint="0.0499"/>
        <rFont val="Times New Roman"/>
        <family val="1"/>
        <charset val="1"/>
      </rPr>
      <t xml:space="preserve">Т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 </t>
    </r>
    <r>
      <rPr>
        <b val="true"/>
        <vertAlign val="superscript"/>
        <sz val="10"/>
        <color theme="1" tint="0.0499"/>
        <rFont val="Times New Roman"/>
        <family val="1"/>
        <charset val="1"/>
      </rPr>
      <t xml:space="preserve">(2)</t>
    </r>
  </si>
  <si>
    <r>
      <rPr>
        <b val="true"/>
        <i val="true"/>
        <sz val="10"/>
        <color theme="1" tint="0.0499"/>
        <rFont val="Times New Roman"/>
        <family val="1"/>
        <charset val="1"/>
      </rPr>
      <t xml:space="preserve">Т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 </t>
    </r>
    <r>
      <rPr>
        <b val="true"/>
        <vertAlign val="superscript"/>
        <sz val="10"/>
        <color theme="1" tint="0.0499"/>
        <rFont val="Times New Roman"/>
        <family val="1"/>
        <charset val="1"/>
      </rPr>
      <t xml:space="preserve">(3)</t>
    </r>
  </si>
  <si>
    <r>
      <rPr>
        <b val="true"/>
        <i val="true"/>
        <sz val="10"/>
        <color theme="1" tint="0.0499"/>
        <rFont val="Times New Roman"/>
        <family val="1"/>
        <charset val="1"/>
      </rPr>
      <t xml:space="preserve">Т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 </t>
    </r>
    <r>
      <rPr>
        <b val="true"/>
        <i val="true"/>
        <vertAlign val="superscript"/>
        <sz val="10"/>
        <color theme="1" tint="0.0499"/>
        <rFont val="Times New Roman"/>
        <family val="1"/>
        <charset val="1"/>
      </rPr>
      <t xml:space="preserve">(4)</t>
    </r>
  </si>
  <si>
    <r>
      <rPr>
        <b val="true"/>
        <i val="true"/>
        <sz val="10"/>
        <color theme="1" tint="0.0499"/>
        <rFont val="Times New Roman"/>
        <family val="1"/>
        <charset val="1"/>
      </rPr>
      <t xml:space="preserve">T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 </t>
    </r>
    <r>
      <rPr>
        <b val="true"/>
        <i val="true"/>
        <vertAlign val="superscript"/>
        <sz val="10"/>
        <color theme="1" tint="0.0499"/>
        <rFont val="Times New Roman"/>
        <family val="1"/>
        <charset val="1"/>
      </rPr>
      <t xml:space="preserve">(5)</t>
    </r>
  </si>
  <si>
    <r>
      <rPr>
        <b val="true"/>
        <i val="true"/>
        <sz val="10"/>
        <color theme="1" tint="0.0499"/>
        <rFont val="Times New Roman"/>
        <family val="1"/>
        <charset val="1"/>
      </rPr>
      <t xml:space="preserve">Т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=</t>
    </r>
    <r>
      <rPr>
        <b val="true"/>
        <sz val="10"/>
        <color theme="1" tint="0.0499"/>
        <rFont val="Times New Roman"/>
        <family val="1"/>
        <charset val="1"/>
      </rPr>
      <t xml:space="preserve">min(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T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</t>
    </r>
    <r>
      <rPr>
        <b val="true"/>
        <vertAlign val="superscript"/>
        <sz val="10"/>
        <color theme="1" tint="0.0499"/>
        <rFont val="Times New Roman"/>
        <family val="1"/>
        <charset val="1"/>
      </rPr>
      <t xml:space="preserve">(</t>
    </r>
    <r>
      <rPr>
        <b val="true"/>
        <i val="true"/>
        <vertAlign val="superscript"/>
        <sz val="10"/>
        <color theme="1" tint="0.0499"/>
        <rFont val="Times New Roman"/>
        <family val="1"/>
        <charset val="1"/>
      </rPr>
      <t xml:space="preserve">i</t>
    </r>
    <r>
      <rPr>
        <b val="true"/>
        <vertAlign val="superscript"/>
        <sz val="10"/>
        <color theme="1" tint="0.0499"/>
        <rFont val="Times New Roman"/>
        <family val="1"/>
        <charset val="1"/>
      </rPr>
      <t xml:space="preserve">)</t>
    </r>
    <r>
      <rPr>
        <b val="true"/>
        <sz val="10"/>
        <color theme="1" tint="0.0499"/>
        <rFont val="Times New Roman"/>
        <family val="1"/>
        <charset val="1"/>
      </rPr>
      <t xml:space="preserve">)</t>
    </r>
  </si>
  <si>
    <r>
      <rPr>
        <b val="true"/>
        <i val="true"/>
        <sz val="10"/>
        <color theme="1" tint="0.0499"/>
        <rFont val="Times New Roman"/>
        <family val="1"/>
        <charset val="1"/>
      </rPr>
      <t xml:space="preserve">S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р  </t>
    </r>
    <r>
      <rPr>
        <b val="true"/>
        <sz val="10"/>
        <color theme="1" tint="0.0499"/>
        <rFont val="Times New Roman"/>
        <family val="1"/>
        <charset val="1"/>
      </rPr>
      <t xml:space="preserve">= 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T</t>
    </r>
    <r>
      <rPr>
        <b val="true"/>
        <vertAlign val="subscript"/>
        <sz val="10"/>
        <color theme="1" tint="0.0499"/>
        <rFont val="Times New Roman"/>
        <family val="1"/>
        <charset val="1"/>
      </rPr>
      <t xml:space="preserve">1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/T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</t>
    </r>
  </si>
  <si>
    <r>
      <rPr>
        <b val="true"/>
        <i val="true"/>
        <sz val="10"/>
        <color theme="1" tint="0.0499"/>
        <rFont val="Times New Roman"/>
        <family val="1"/>
        <charset val="1"/>
      </rPr>
      <t xml:space="preserve">E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р  </t>
    </r>
    <r>
      <rPr>
        <b val="true"/>
        <sz val="10"/>
        <color theme="1" tint="0.0499"/>
        <rFont val="Times New Roman"/>
        <family val="1"/>
        <charset val="1"/>
      </rPr>
      <t xml:space="preserve">= 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S</t>
    </r>
    <r>
      <rPr>
        <b val="true"/>
        <i val="true"/>
        <vertAlign val="subscript"/>
        <sz val="10"/>
        <color theme="1" tint="0.0499"/>
        <rFont val="Times New Roman"/>
        <family val="1"/>
        <charset val="1"/>
      </rPr>
      <t xml:space="preserve">p</t>
    </r>
    <r>
      <rPr>
        <b val="true"/>
        <i val="true"/>
        <sz val="10"/>
        <color theme="1" tint="0.0499"/>
        <rFont val="Times New Roman"/>
        <family val="1"/>
        <charset val="1"/>
      </rPr>
      <t xml:space="preserve">/p</t>
    </r>
  </si>
  <si>
    <t xml:space="preserve">Tp1</t>
  </si>
  <si>
    <t xml:space="preserve">Tp2</t>
  </si>
  <si>
    <t xml:space="preserve">Tp3</t>
  </si>
  <si>
    <t xml:space="preserve">Tp4</t>
  </si>
  <si>
    <t xml:space="preserve">Tp5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</si>
</sst>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theme="1" tint="0.0499"/>
      <name val="Calibri"/>
      <family val="2"/>
      <charset val="1"/>
    </font>
    <font>
      <b val="true"/>
      <i val="true"/>
      <sz val="10"/>
      <color theme="1" tint="0.0499"/>
      <name val="Times New Roman"/>
      <family val="1"/>
      <charset val="1"/>
    </font>
    <font>
      <b val="true"/>
      <i val="true"/>
      <vertAlign val="subscript"/>
      <sz val="10"/>
      <color theme="1" tint="0.0499"/>
      <name val="Times New Roman"/>
      <family val="1"/>
      <charset val="1"/>
    </font>
    <font>
      <b val="true"/>
      <vertAlign val="superscript"/>
      <sz val="10"/>
      <color theme="1" tint="0.0499"/>
      <name val="Times New Roman"/>
      <family val="1"/>
      <charset val="1"/>
    </font>
    <font>
      <b val="true"/>
      <i val="true"/>
      <vertAlign val="superscript"/>
      <sz val="10"/>
      <color theme="1" tint="0.0499"/>
      <name val="Times New Roman"/>
      <family val="1"/>
      <charset val="1"/>
    </font>
    <font>
      <b val="true"/>
      <sz val="10"/>
      <color theme="1" tint="0.0499"/>
      <name val="Times New Roman"/>
      <family val="1"/>
      <charset val="1"/>
    </font>
    <font>
      <b val="true"/>
      <vertAlign val="subscript"/>
      <sz val="10"/>
      <color theme="1" tint="0.0499"/>
      <name val="Times New Roman"/>
      <family val="1"/>
      <charset val="1"/>
    </font>
    <font>
      <sz val="10"/>
      <color theme="1" tint="0.0499"/>
      <name val="Calibri"/>
      <family val="2"/>
      <charset val="1"/>
    </font>
    <font>
      <sz val="10"/>
      <color theme="1" tint="0.0499"/>
      <name val="Times New Roman"/>
      <family val="1"/>
      <charset val="1"/>
    </font>
    <font>
      <i val="true"/>
      <sz val="10"/>
      <color theme="1" tint="0.0499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399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theme="0" tint="-0.35"/>
      </left>
      <right style="medium">
        <color theme="0" tint="-0.35"/>
      </right>
      <top style="medium">
        <color theme="0" tint="-0.35"/>
      </top>
      <bottom style="medium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true" indent="0" shrinkToFit="false" readingOrder="1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3" fillId="2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9C9C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W36"/>
  <sheetViews>
    <sheetView showFormulas="false" showGridLines="true" showRowColHeaders="true" showZeros="true" rightToLeft="false" tabSelected="true" showOutlineSymbols="true" defaultGridColor="true" view="normal" topLeftCell="A4" colorId="64" zoomScale="151" zoomScaleNormal="151" zoomScalePageLayoutView="100" workbookViewId="0">
      <selection pane="topLeft" activeCell="C6" activeCellId="0" sqref="C6:M2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3" min="3" style="1" width="3.09"/>
    <col collapsed="false" customWidth="true" hidden="false" outlineLevel="0" max="4" min="4" style="1" width="5.09"/>
    <col collapsed="false" customWidth="true" hidden="false" outlineLevel="0" max="5" min="5" style="2" width="6.09"/>
    <col collapsed="false" customWidth="true" hidden="false" outlineLevel="0" max="6" min="6" style="1" width="10.83"/>
    <col collapsed="false" customWidth="true" hidden="false" outlineLevel="0" max="7" min="7" style="1" width="13.34"/>
    <col collapsed="false" customWidth="true" hidden="false" outlineLevel="0" max="8" min="8" style="1" width="10.4"/>
    <col collapsed="false" customWidth="true" hidden="false" outlineLevel="0" max="9" min="9" style="1" width="12.09"/>
    <col collapsed="false" customWidth="true" hidden="false" outlineLevel="0" max="10" min="10" style="1" width="10.36"/>
    <col collapsed="false" customWidth="true" hidden="false" outlineLevel="0" max="11" min="11" style="1" width="10.91"/>
  </cols>
  <sheetData>
    <row r="5" customFormat="false" ht="14.25" hidden="false" customHeight="false" outlineLevel="0" collapsed="false">
      <c r="B5" s="3"/>
      <c r="C5" s="3"/>
      <c r="D5" s="3"/>
      <c r="E5" s="4"/>
      <c r="F5" s="3"/>
      <c r="G5" s="3"/>
      <c r="H5" s="3"/>
      <c r="I5" s="3"/>
      <c r="J5" s="3"/>
    </row>
    <row r="6" customFormat="false" ht="14.25" hidden="false" customHeight="false" outlineLevel="0" collapsed="false">
      <c r="B6" s="3"/>
      <c r="C6" s="5" t="s">
        <v>0</v>
      </c>
      <c r="D6" s="6" t="s">
        <v>1</v>
      </c>
      <c r="E6" s="7" t="s">
        <v>2</v>
      </c>
      <c r="F6" s="8" t="s">
        <v>3</v>
      </c>
      <c r="G6" s="8" t="s">
        <v>4</v>
      </c>
      <c r="H6" s="8" t="s">
        <v>5</v>
      </c>
      <c r="I6" s="9" t="s">
        <v>6</v>
      </c>
      <c r="J6" s="9" t="s">
        <v>7</v>
      </c>
      <c r="K6" s="8" t="s">
        <v>8</v>
      </c>
      <c r="L6" s="8" t="s">
        <v>9</v>
      </c>
      <c r="M6" s="8" t="s">
        <v>10</v>
      </c>
    </row>
    <row r="7" customFormat="false" ht="14.25" hidden="false" customHeight="false" outlineLevel="0" collapsed="false">
      <c r="B7" s="3"/>
      <c r="C7" s="10" t="n">
        <v>1</v>
      </c>
      <c r="D7" s="11" t="n">
        <v>1</v>
      </c>
      <c r="E7" s="12" t="n">
        <f aca="false">1920/D7</f>
        <v>1920</v>
      </c>
      <c r="F7" s="1" t="n">
        <v>0.236302</v>
      </c>
      <c r="G7" s="1" t="n">
        <v>0.23642</v>
      </c>
      <c r="H7" s="1" t="n">
        <v>0.236292</v>
      </c>
      <c r="I7" s="1" t="n">
        <v>0.240895</v>
      </c>
      <c r="J7" s="1" t="n">
        <v>0.236313</v>
      </c>
      <c r="K7" s="13" t="n">
        <f aca="false">MIN(F7:J7)</f>
        <v>0.236292</v>
      </c>
      <c r="L7" s="14" t="n">
        <f aca="false">K7/K7</f>
        <v>1</v>
      </c>
      <c r="M7" s="14" t="n">
        <f aca="false">L7/D7</f>
        <v>1</v>
      </c>
      <c r="Q7" s="1" t="s">
        <v>1</v>
      </c>
      <c r="R7" s="1" t="s">
        <v>2</v>
      </c>
      <c r="S7" s="1" t="s">
        <v>11</v>
      </c>
      <c r="T7" s="1" t="s">
        <v>12</v>
      </c>
      <c r="U7" s="1" t="s">
        <v>13</v>
      </c>
      <c r="V7" s="1" t="s">
        <v>14</v>
      </c>
      <c r="W7" s="1" t="s">
        <v>15</v>
      </c>
    </row>
    <row r="8" customFormat="false" ht="14.25" hidden="false" customHeight="false" outlineLevel="0" collapsed="false">
      <c r="B8" s="3"/>
      <c r="C8" s="10" t="n">
        <v>2</v>
      </c>
      <c r="D8" s="11" t="n">
        <v>2</v>
      </c>
      <c r="E8" s="12" t="n">
        <f aca="false">1920/D8</f>
        <v>960</v>
      </c>
      <c r="F8" s="1" t="n">
        <v>0.120417</v>
      </c>
      <c r="G8" s="1" t="n">
        <v>0.121888</v>
      </c>
      <c r="H8" s="1" t="n">
        <v>0.122671</v>
      </c>
      <c r="I8" s="1" t="n">
        <v>0.119692</v>
      </c>
      <c r="J8" s="1" t="n">
        <v>0.121527</v>
      </c>
      <c r="K8" s="13" t="n">
        <f aca="false">MIN(F8:J8)</f>
        <v>0.119692</v>
      </c>
      <c r="L8" s="14" t="n">
        <f aca="false">$K$7/K8</f>
        <v>1.97416702870701</v>
      </c>
      <c r="M8" s="14" t="n">
        <f aca="false">L8/D8</f>
        <v>0.987083514353507</v>
      </c>
      <c r="Q8" s="1" t="n">
        <v>1</v>
      </c>
      <c r="R8" s="1" t="n">
        <v>980</v>
      </c>
    </row>
    <row r="9" customFormat="false" ht="14.25" hidden="false" customHeight="false" outlineLevel="0" collapsed="false">
      <c r="B9" s="3"/>
      <c r="C9" s="10" t="n">
        <v>3</v>
      </c>
      <c r="D9" s="1" t="n">
        <v>3</v>
      </c>
      <c r="E9" s="12" t="n">
        <f aca="false">1920/D9</f>
        <v>640</v>
      </c>
      <c r="F9" s="1" t="n">
        <v>0.085741</v>
      </c>
      <c r="G9" s="1" t="n">
        <v>0.088551</v>
      </c>
      <c r="H9" s="1" t="n">
        <v>0.088532</v>
      </c>
      <c r="I9" s="1" t="n">
        <v>0.079787</v>
      </c>
      <c r="J9" s="1" t="n">
        <v>0.085828</v>
      </c>
      <c r="K9" s="13" t="n">
        <f aca="false">MIN(F9:J9)</f>
        <v>0.079787</v>
      </c>
      <c r="L9" s="14" t="n">
        <f aca="false">$K$7/K9</f>
        <v>2.96153508716959</v>
      </c>
      <c r="M9" s="14" t="n">
        <f aca="false">L9/D9</f>
        <v>0.987178362389863</v>
      </c>
      <c r="Q9" s="1" t="n">
        <v>2</v>
      </c>
      <c r="R9" s="1" t="n">
        <v>490</v>
      </c>
    </row>
    <row r="10" customFormat="false" ht="14.25" hidden="false" customHeight="false" outlineLevel="0" collapsed="false">
      <c r="B10" s="3"/>
      <c r="C10" s="10" t="n">
        <v>4</v>
      </c>
      <c r="D10" s="11" t="n">
        <v>4</v>
      </c>
      <c r="E10" s="12" t="n">
        <f aca="false">1920/D10</f>
        <v>480</v>
      </c>
      <c r="F10" s="1" t="n">
        <v>0.068056</v>
      </c>
      <c r="G10" s="1" t="n">
        <v>0.070375</v>
      </c>
      <c r="H10" s="1" t="n">
        <v>0.06849</v>
      </c>
      <c r="I10" s="1" t="n">
        <v>0.061734</v>
      </c>
      <c r="J10" s="1" t="n">
        <v>0.068081</v>
      </c>
      <c r="K10" s="13" t="n">
        <f aca="false">MIN(F10:J10)</f>
        <v>0.061734</v>
      </c>
      <c r="L10" s="14" t="n">
        <f aca="false">$K$7/K10</f>
        <v>3.82758285547672</v>
      </c>
      <c r="M10" s="14" t="n">
        <f aca="false">L10/D10</f>
        <v>0.956895713869181</v>
      </c>
      <c r="Q10" s="1" t="n">
        <v>3</v>
      </c>
      <c r="R10" s="1" t="n">
        <v>327</v>
      </c>
    </row>
    <row r="11" customFormat="false" ht="14.25" hidden="false" customHeight="false" outlineLevel="0" collapsed="false">
      <c r="B11" s="3"/>
      <c r="C11" s="10" t="n">
        <v>5</v>
      </c>
      <c r="D11" s="1" t="n">
        <v>5</v>
      </c>
      <c r="E11" s="12" t="n">
        <f aca="false">1920/D11</f>
        <v>384</v>
      </c>
      <c r="F11" s="1" t="n">
        <v>0.056148</v>
      </c>
      <c r="G11" s="1" t="n">
        <v>0.055747</v>
      </c>
      <c r="H11" s="1" t="n">
        <v>0.055262</v>
      </c>
      <c r="I11" s="1" t="n">
        <v>0.056813</v>
      </c>
      <c r="J11" s="1" t="n">
        <v>0.056933</v>
      </c>
      <c r="K11" s="13" t="n">
        <f aca="false">MIN(F11:J11)</f>
        <v>0.055262</v>
      </c>
      <c r="L11" s="14" t="n">
        <f aca="false">$K$7/K11</f>
        <v>4.27584958922949</v>
      </c>
      <c r="M11" s="14" t="n">
        <f aca="false">L11/D11</f>
        <v>0.855169917845898</v>
      </c>
      <c r="Q11" s="1" t="n">
        <v>4</v>
      </c>
      <c r="R11" s="1" t="n">
        <v>245</v>
      </c>
    </row>
    <row r="12" customFormat="false" ht="14.25" hidden="false" customHeight="false" outlineLevel="0" collapsed="false">
      <c r="B12" s="3"/>
      <c r="C12" s="10" t="n">
        <v>6</v>
      </c>
      <c r="D12" s="1" t="n">
        <v>6</v>
      </c>
      <c r="E12" s="12" t="n">
        <f aca="false">1920/D12</f>
        <v>320</v>
      </c>
      <c r="F12" s="1" t="n">
        <v>0.045742</v>
      </c>
      <c r="G12" s="1" t="n">
        <v>0.042009</v>
      </c>
      <c r="H12" s="1" t="n">
        <v>0.047967</v>
      </c>
      <c r="I12" s="1" t="n">
        <v>0.046853</v>
      </c>
      <c r="J12" s="1" t="n">
        <v>0.048582</v>
      </c>
      <c r="K12" s="13" t="n">
        <f aca="false">MIN(F12:J12)</f>
        <v>0.042009</v>
      </c>
      <c r="L12" s="14" t="n">
        <f aca="false">$K$7/K12</f>
        <v>5.62479468685282</v>
      </c>
      <c r="M12" s="14" t="n">
        <f aca="false">L12/D12</f>
        <v>0.937465781142136</v>
      </c>
      <c r="Q12" s="1" t="n">
        <v>5</v>
      </c>
      <c r="R12" s="1" t="n">
        <v>196</v>
      </c>
    </row>
    <row r="13" customFormat="false" ht="14.25" hidden="false" customHeight="false" outlineLevel="0" collapsed="false">
      <c r="B13" s="3"/>
      <c r="C13" s="10" t="n">
        <v>7</v>
      </c>
      <c r="D13" s="11" t="n">
        <v>8</v>
      </c>
      <c r="E13" s="12" t="n">
        <f aca="false">1920/D13</f>
        <v>240</v>
      </c>
      <c r="F13" s="1" t="n">
        <v>0.035813</v>
      </c>
      <c r="G13" s="1" t="n">
        <v>0.035345</v>
      </c>
      <c r="H13" s="1" t="n">
        <v>0.036681</v>
      </c>
      <c r="I13" s="1" t="n">
        <v>0.036209</v>
      </c>
      <c r="J13" s="1" t="n">
        <v>0.035678</v>
      </c>
      <c r="K13" s="13" t="n">
        <f aca="false">MIN(F13:J13)</f>
        <v>0.035345</v>
      </c>
      <c r="L13" s="14" t="n">
        <f aca="false">$K$7/K13</f>
        <v>6.68530202291696</v>
      </c>
      <c r="M13" s="14" t="n">
        <f aca="false">L13/D13</f>
        <v>0.83566275286462</v>
      </c>
      <c r="Q13" s="1" t="n">
        <v>6</v>
      </c>
      <c r="R13" s="1" t="n">
        <v>163</v>
      </c>
    </row>
    <row r="14" customFormat="false" ht="14.25" hidden="false" customHeight="false" outlineLevel="0" collapsed="false">
      <c r="B14" s="3"/>
      <c r="C14" s="10" t="n">
        <v>8</v>
      </c>
      <c r="D14" s="1" t="n">
        <v>10</v>
      </c>
      <c r="E14" s="12" t="n">
        <f aca="false">1920/D14</f>
        <v>192</v>
      </c>
      <c r="F14" s="1" t="n">
        <v>0.029815</v>
      </c>
      <c r="G14" s="1" t="n">
        <v>0.030231</v>
      </c>
      <c r="H14" s="1" t="n">
        <v>0.02932</v>
      </c>
      <c r="I14" s="1" t="n">
        <v>0.026751</v>
      </c>
      <c r="J14" s="1" t="n">
        <v>0.029606</v>
      </c>
      <c r="K14" s="13" t="n">
        <f aca="false">MIN(F14:J14)</f>
        <v>0.026751</v>
      </c>
      <c r="L14" s="14" t="n">
        <f aca="false">$K$7/K14</f>
        <v>8.83301558820231</v>
      </c>
      <c r="M14" s="14" t="n">
        <f aca="false">L14/D14</f>
        <v>0.883301558820231</v>
      </c>
      <c r="Q14" s="1" t="n">
        <v>8</v>
      </c>
      <c r="R14" s="1" t="n">
        <v>123</v>
      </c>
    </row>
    <row r="15" customFormat="false" ht="14.25" hidden="false" customHeight="false" outlineLevel="0" collapsed="false">
      <c r="B15" s="3"/>
      <c r="C15" s="10" t="n">
        <v>9</v>
      </c>
      <c r="D15" s="11" t="n">
        <v>12</v>
      </c>
      <c r="E15" s="12" t="n">
        <f aca="false">1920/D15</f>
        <v>160</v>
      </c>
      <c r="F15" s="1" t="n">
        <v>0.022838</v>
      </c>
      <c r="G15" s="1" t="n">
        <v>0.02299</v>
      </c>
      <c r="H15" s="1" t="n">
        <v>0.023128</v>
      </c>
      <c r="I15" s="1" t="n">
        <v>0.022865</v>
      </c>
      <c r="J15" s="1" t="n">
        <v>0.025236</v>
      </c>
      <c r="K15" s="13" t="n">
        <f aca="false">MIN(F15:J15)</f>
        <v>0.022838</v>
      </c>
      <c r="L15" s="14" t="n">
        <f aca="false">$K$7/K15</f>
        <v>10.3464401436203</v>
      </c>
      <c r="M15" s="14" t="n">
        <f aca="false">L15/D15</f>
        <v>0.86220334530169</v>
      </c>
      <c r="Q15" s="1" t="n">
        <v>10</v>
      </c>
      <c r="R15" s="1" t="n">
        <v>98</v>
      </c>
    </row>
    <row r="16" customFormat="false" ht="14.25" hidden="false" customHeight="false" outlineLevel="0" collapsed="false">
      <c r="B16" s="3"/>
      <c r="C16" s="10" t="n">
        <v>10</v>
      </c>
      <c r="D16" s="1" t="n">
        <v>15</v>
      </c>
      <c r="E16" s="12" t="n">
        <f aca="false">1920/D16</f>
        <v>128</v>
      </c>
      <c r="F16" s="1" t="n">
        <v>0.019199</v>
      </c>
      <c r="G16" s="1" t="n">
        <v>0.019487</v>
      </c>
      <c r="H16" s="1" t="n">
        <v>0.019394</v>
      </c>
      <c r="I16" s="1" t="n">
        <v>0.021416</v>
      </c>
      <c r="J16" s="1" t="n">
        <v>0.021374</v>
      </c>
      <c r="K16" s="13" t="n">
        <f aca="false">MIN(F16:J16)</f>
        <v>0.019199</v>
      </c>
      <c r="L16" s="14" t="n">
        <f aca="false">$K$7/K16</f>
        <v>12.3075160164592</v>
      </c>
      <c r="M16" s="14" t="n">
        <f aca="false">L16/D16</f>
        <v>0.820501067763946</v>
      </c>
      <c r="Q16" s="1" t="n">
        <v>12</v>
      </c>
      <c r="R16" s="1" t="n">
        <v>82</v>
      </c>
    </row>
    <row r="17" customFormat="false" ht="14.25" hidden="false" customHeight="false" outlineLevel="0" collapsed="false">
      <c r="B17" s="3"/>
      <c r="C17" s="10" t="n">
        <v>11</v>
      </c>
      <c r="D17" s="11" t="n">
        <v>16</v>
      </c>
      <c r="E17" s="12" t="n">
        <f aca="false">1920/D17</f>
        <v>120</v>
      </c>
      <c r="F17" s="1" t="n">
        <v>0.0193402</v>
      </c>
      <c r="G17" s="1" t="n">
        <v>0.018707</v>
      </c>
      <c r="H17" s="1" t="n">
        <v>0.019563</v>
      </c>
      <c r="I17" s="1" t="n">
        <v>0.018827</v>
      </c>
      <c r="J17" s="1" t="n">
        <v>0.018683</v>
      </c>
      <c r="K17" s="13" t="n">
        <f aca="false">MIN(F17:J17)</f>
        <v>0.018683</v>
      </c>
      <c r="L17" s="14" t="n">
        <f aca="false">$K$7/K17</f>
        <v>12.6474334956913</v>
      </c>
      <c r="M17" s="14" t="n">
        <f aca="false">L17/D17</f>
        <v>0.790464593480704</v>
      </c>
      <c r="Q17" s="1" t="n">
        <v>15</v>
      </c>
      <c r="R17" s="1" t="n">
        <v>65</v>
      </c>
    </row>
    <row r="18" customFormat="false" ht="14.25" hidden="false" customHeight="false" outlineLevel="0" collapsed="false">
      <c r="B18" s="3"/>
      <c r="C18" s="10" t="n">
        <v>12</v>
      </c>
      <c r="D18" s="11" t="n">
        <v>20</v>
      </c>
      <c r="E18" s="12" t="n">
        <f aca="false">1920/D18</f>
        <v>96</v>
      </c>
      <c r="F18" s="1" t="n">
        <v>0.021132</v>
      </c>
      <c r="G18" s="1" t="n">
        <v>0.021137</v>
      </c>
      <c r="H18" s="1" t="n">
        <v>0.021104</v>
      </c>
      <c r="I18" s="1" t="n">
        <v>0.02112</v>
      </c>
      <c r="J18" s="1" t="n">
        <v>0.021173</v>
      </c>
      <c r="K18" s="13" t="n">
        <f aca="false">MIN(F18:J18)</f>
        <v>0.021104</v>
      </c>
      <c r="L18" s="14" t="n">
        <f aca="false">$K$7/K18</f>
        <v>11.1965504169826</v>
      </c>
      <c r="M18" s="14" t="n">
        <f aca="false">L18/D18</f>
        <v>0.559827520849128</v>
      </c>
      <c r="Q18" s="1" t="n">
        <v>16</v>
      </c>
      <c r="R18" s="1" t="n">
        <v>61</v>
      </c>
    </row>
    <row r="19" customFormat="false" ht="14.25" hidden="false" customHeight="false" outlineLevel="0" collapsed="false">
      <c r="B19" s="3"/>
      <c r="C19" s="10" t="n">
        <v>13</v>
      </c>
      <c r="D19" s="11" t="n">
        <v>24</v>
      </c>
      <c r="E19" s="12" t="n">
        <f aca="false">1920/D19</f>
        <v>80</v>
      </c>
      <c r="F19" s="1" t="n">
        <v>0.018252</v>
      </c>
      <c r="G19" s="1" t="n">
        <v>0.018253</v>
      </c>
      <c r="H19" s="1" t="n">
        <v>0.018276</v>
      </c>
      <c r="I19" s="1" t="n">
        <v>0.018345</v>
      </c>
      <c r="J19" s="1" t="n">
        <v>0.018218</v>
      </c>
      <c r="K19" s="13" t="n">
        <f aca="false">MIN(F19:J19)</f>
        <v>0.018218</v>
      </c>
      <c r="L19" s="14" t="n">
        <f aca="false">$K$7/K19</f>
        <v>12.9702492040839</v>
      </c>
      <c r="M19" s="14" t="n">
        <f aca="false">L19/D19</f>
        <v>0.540427050170161</v>
      </c>
      <c r="Q19" s="1" t="n">
        <v>20</v>
      </c>
      <c r="R19" s="1" t="n">
        <v>49</v>
      </c>
    </row>
    <row r="20" customFormat="false" ht="14.25" hidden="false" customHeight="false" outlineLevel="0" collapsed="false">
      <c r="B20" s="3"/>
      <c r="C20" s="10" t="n">
        <v>14</v>
      </c>
      <c r="D20" s="11" t="n">
        <v>30</v>
      </c>
      <c r="E20" s="12" t="n">
        <f aca="false">1920/D20</f>
        <v>64</v>
      </c>
      <c r="F20" s="1" t="n">
        <v>0.0150538</v>
      </c>
      <c r="G20" s="1" t="n">
        <v>0.0154838</v>
      </c>
      <c r="H20" s="1" t="n">
        <v>0.0154511</v>
      </c>
      <c r="I20" s="1" t="n">
        <v>0.0154949</v>
      </c>
      <c r="J20" s="1" t="n">
        <v>0.0150995</v>
      </c>
      <c r="K20" s="13" t="n">
        <f aca="false">MIN(F20:J20)</f>
        <v>0.0150538</v>
      </c>
      <c r="L20" s="14" t="n">
        <f aca="false">$K$7/K20</f>
        <v>15.696501879924</v>
      </c>
      <c r="M20" s="14" t="n">
        <f aca="false">L20/D20</f>
        <v>0.5232167293308</v>
      </c>
      <c r="Q20" s="1" t="n">
        <v>24</v>
      </c>
      <c r="R20" s="1" t="n">
        <v>41</v>
      </c>
    </row>
    <row r="21" customFormat="false" ht="14.25" hidden="false" customHeight="false" outlineLevel="0" collapsed="false">
      <c r="C21" s="10" t="n">
        <v>15</v>
      </c>
      <c r="D21" s="11" t="n">
        <v>32</v>
      </c>
      <c r="E21" s="12" t="n">
        <f aca="false">1920/D21</f>
        <v>60</v>
      </c>
      <c r="F21" s="1" t="n">
        <v>0.014651</v>
      </c>
      <c r="G21" s="1" t="n">
        <v>0.014553</v>
      </c>
      <c r="H21" s="1" t="n">
        <v>0.014791</v>
      </c>
      <c r="I21" s="1" t="n">
        <v>0.01458</v>
      </c>
      <c r="J21" s="1" t="n">
        <v>0.014801</v>
      </c>
      <c r="K21" s="13" t="n">
        <f aca="false">MIN(F21:J21)</f>
        <v>0.014553</v>
      </c>
      <c r="L21" s="14" t="n">
        <f aca="false">$K$7/K21</f>
        <v>16.2366522366522</v>
      </c>
      <c r="M21" s="14" t="n">
        <f aca="false">L21/D21</f>
        <v>0.507395382395382</v>
      </c>
      <c r="Q21" s="1" t="n">
        <v>28</v>
      </c>
      <c r="R21" s="1" t="n">
        <v>35</v>
      </c>
    </row>
    <row r="22" customFormat="false" ht="14.25" hidden="false" customHeight="false" outlineLevel="0" collapsed="false">
      <c r="C22" s="0"/>
      <c r="D22" s="0"/>
      <c r="E22" s="0"/>
      <c r="F22" s="0"/>
      <c r="G22" s="0"/>
      <c r="H22" s="0"/>
      <c r="I22" s="0"/>
      <c r="J22" s="0"/>
      <c r="K22" s="0"/>
      <c r="Q22" s="1" t="n">
        <v>30</v>
      </c>
      <c r="R22" s="1" t="n">
        <v>33</v>
      </c>
    </row>
    <row r="23" customFormat="false" ht="14.25" hidden="false" customHeight="false" outlineLevel="0" collapsed="false">
      <c r="C23" s="0"/>
      <c r="D23" s="0"/>
      <c r="E23" s="0"/>
      <c r="F23" s="0"/>
      <c r="G23" s="0"/>
      <c r="H23" s="0"/>
      <c r="I23" s="0"/>
      <c r="J23" s="0"/>
      <c r="K23" s="0"/>
      <c r="Q23" s="1" t="n">
        <v>32</v>
      </c>
      <c r="R23" s="1" t="n">
        <v>31</v>
      </c>
    </row>
    <row r="24" customFormat="false" ht="14.25" hidden="false" customHeight="false" outlineLevel="0" collapsed="false">
      <c r="C24" s="0"/>
      <c r="D24" s="0"/>
      <c r="E24" s="0"/>
      <c r="F24" s="0"/>
      <c r="G24" s="0"/>
      <c r="H24" s="0"/>
      <c r="I24" s="0"/>
      <c r="J24" s="0"/>
      <c r="K24" s="0"/>
    </row>
    <row r="25" customFormat="false" ht="14.25" hidden="false" customHeight="false" outlineLevel="0" collapsed="false">
      <c r="C25" s="10"/>
      <c r="D25" s="11"/>
      <c r="E25" s="12"/>
      <c r="F25" s="15"/>
      <c r="G25" s="15"/>
      <c r="H25" s="15"/>
      <c r="I25" s="13"/>
      <c r="J25" s="14"/>
      <c r="K25" s="14"/>
    </row>
    <row r="26" customFormat="false" ht="14.25" hidden="false" customHeight="false" outlineLevel="0" collapsed="false">
      <c r="C26" s="10"/>
      <c r="D26" s="11"/>
      <c r="E26" s="12"/>
      <c r="F26" s="15"/>
      <c r="G26" s="15"/>
      <c r="H26" s="15"/>
      <c r="I26" s="13"/>
      <c r="J26" s="14"/>
      <c r="K26" s="14"/>
    </row>
    <row r="27" customFormat="false" ht="14.25" hidden="false" customHeight="false" outlineLevel="0" collapsed="false">
      <c r="C27" s="10"/>
      <c r="D27" s="11"/>
      <c r="E27" s="12"/>
      <c r="F27" s="8"/>
      <c r="G27" s="8"/>
      <c r="H27" s="8"/>
      <c r="I27" s="13"/>
      <c r="J27" s="14"/>
      <c r="K27" s="14"/>
    </row>
    <row r="28" customFormat="false" ht="14.25" hidden="false" customHeight="false" outlineLevel="0" collapsed="false">
      <c r="C28" s="10"/>
      <c r="D28" s="11"/>
      <c r="E28" s="12"/>
      <c r="F28" s="15"/>
      <c r="G28" s="15"/>
      <c r="H28" s="15"/>
      <c r="I28" s="13"/>
      <c r="J28" s="14"/>
      <c r="K28" s="14"/>
    </row>
    <row r="29" customFormat="false" ht="14.25" hidden="false" customHeight="false" outlineLevel="0" collapsed="false">
      <c r="C29" s="10"/>
      <c r="D29" s="11"/>
      <c r="E29" s="12"/>
      <c r="F29" s="15"/>
      <c r="G29" s="15"/>
      <c r="H29" s="15"/>
      <c r="I29" s="13"/>
      <c r="J29" s="14"/>
      <c r="K29" s="14"/>
    </row>
    <row r="30" customFormat="false" ht="14.25" hidden="false" customHeight="false" outlineLevel="0" collapsed="false">
      <c r="C30" s="10"/>
      <c r="D30" s="11"/>
      <c r="E30" s="12"/>
      <c r="F30" s="15"/>
      <c r="G30" s="15"/>
      <c r="H30" s="15"/>
      <c r="I30" s="13"/>
      <c r="J30" s="14"/>
      <c r="K30" s="14"/>
    </row>
    <row r="31" customFormat="false" ht="14.25" hidden="false" customHeight="false" outlineLevel="0" collapsed="false">
      <c r="C31" s="10"/>
      <c r="D31" s="11"/>
      <c r="E31" s="12"/>
      <c r="F31" s="15"/>
      <c r="G31" s="15"/>
      <c r="H31" s="15"/>
      <c r="I31" s="13"/>
      <c r="J31" s="14"/>
      <c r="K31" s="14"/>
    </row>
    <row r="32" customFormat="false" ht="14.25" hidden="false" customHeight="false" outlineLevel="0" collapsed="false">
      <c r="C32" s="10"/>
      <c r="D32" s="11"/>
      <c r="E32" s="12"/>
      <c r="F32" s="15"/>
      <c r="G32" s="15"/>
      <c r="H32" s="15"/>
      <c r="I32" s="13"/>
      <c r="J32" s="14"/>
      <c r="K32" s="14"/>
    </row>
    <row r="33" customFormat="false" ht="14.25" hidden="false" customHeight="false" outlineLevel="0" collapsed="false">
      <c r="C33" s="10"/>
      <c r="D33" s="11"/>
      <c r="E33" s="12"/>
      <c r="F33" s="15"/>
      <c r="G33" s="15"/>
      <c r="H33" s="15"/>
      <c r="I33" s="13"/>
      <c r="J33" s="14"/>
      <c r="K33" s="14"/>
    </row>
    <row r="34" customFormat="false" ht="14.25" hidden="false" customHeight="false" outlineLevel="0" collapsed="false">
      <c r="C34" s="10"/>
      <c r="D34" s="11"/>
      <c r="E34" s="12"/>
      <c r="F34" s="15"/>
      <c r="G34" s="15"/>
      <c r="H34" s="15"/>
      <c r="I34" s="13"/>
      <c r="J34" s="14"/>
      <c r="K34" s="14"/>
    </row>
    <row r="35" customFormat="false" ht="14.25" hidden="false" customHeight="false" outlineLevel="0" collapsed="false">
      <c r="C35" s="10"/>
      <c r="D35" s="11"/>
      <c r="E35" s="12"/>
      <c r="F35" s="15"/>
      <c r="G35" s="15"/>
      <c r="H35" s="15"/>
      <c r="I35" s="13"/>
      <c r="J35" s="14"/>
      <c r="K35" s="14"/>
    </row>
    <row r="36" customFormat="false" ht="14.25" hidden="false" customHeight="false" outlineLevel="0" collapsed="false">
      <c r="C36" s="10"/>
      <c r="D36" s="11"/>
      <c r="E36" s="12"/>
      <c r="F36" s="15"/>
      <c r="G36" s="15"/>
      <c r="H36" s="15"/>
      <c r="I36" s="13"/>
      <c r="J36" s="14"/>
      <c r="K36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2020-05-01T10:52:35Z</dcterms:created>
  <dc:creator>v__g</dc:creator>
  <dc:description/>
  <dc:language>en-GB</dc:language>
  <cp:lastModifiedBy/>
  <dcterms:modified xsi:type="dcterms:W3CDTF">2026-05-31T15:35:41Z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